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acbd3ff256116d9d/Desktop/python/排班/"/>
    </mc:Choice>
  </mc:AlternateContent>
  <xr:revisionPtr revIDLastSave="605" documentId="13_ncr:1_{186A5C2F-2DB1-45C1-BD1A-3D3119CCDE22}" xr6:coauthVersionLast="47" xr6:coauthVersionMax="47" xr10:uidLastSave="{AA3897C1-F341-45EF-AC39-EDE0642F4427}"/>
  <bookViews>
    <workbookView xWindow="-120" yWindow="-120" windowWidth="29040" windowHeight="15720" activeTab="1" xr2:uid="{00000000-000D-0000-FFFF-FFFF00000000}"/>
  </bookViews>
  <sheets>
    <sheet name="員工年假預假" sheetId="1" r:id="rId1"/>
    <sheet name="班表" sheetId="4" r:id="rId2"/>
    <sheet name="排班步驟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6" i="4" l="1"/>
  <c r="T17" i="4"/>
  <c r="T18" i="4"/>
  <c r="T19" i="4"/>
  <c r="O16" i="4"/>
  <c r="P16" i="4"/>
  <c r="Q16" i="4"/>
  <c r="R16" i="4"/>
  <c r="S16" i="4"/>
  <c r="O17" i="4"/>
  <c r="P17" i="4"/>
  <c r="Q17" i="4"/>
  <c r="R17" i="4"/>
  <c r="S17" i="4"/>
  <c r="O18" i="4"/>
  <c r="P18" i="4"/>
  <c r="Q18" i="4"/>
  <c r="R18" i="4"/>
  <c r="S18" i="4"/>
  <c r="O19" i="4"/>
  <c r="P19" i="4"/>
  <c r="Q19" i="4"/>
  <c r="R19" i="4"/>
  <c r="S19" i="4"/>
  <c r="B16" i="4"/>
  <c r="C16" i="4"/>
  <c r="D16" i="4"/>
  <c r="I16" i="4" s="1"/>
  <c r="E16" i="4"/>
  <c r="F16" i="4"/>
  <c r="G16" i="4"/>
  <c r="H16" i="4"/>
  <c r="B17" i="4"/>
  <c r="C17" i="4"/>
  <c r="D17" i="4"/>
  <c r="E17" i="4"/>
  <c r="F17" i="4"/>
  <c r="G17" i="4"/>
  <c r="I17" i="4" s="1"/>
  <c r="H17" i="4"/>
  <c r="B18" i="4"/>
  <c r="C18" i="4"/>
  <c r="D18" i="4"/>
  <c r="E18" i="4"/>
  <c r="F18" i="4"/>
  <c r="G18" i="4"/>
  <c r="H18" i="4"/>
  <c r="B19" i="4"/>
  <c r="C19" i="4"/>
  <c r="D19" i="4"/>
  <c r="E19" i="4"/>
  <c r="F19" i="4"/>
  <c r="I19" i="4" s="1"/>
  <c r="G19" i="4"/>
  <c r="H19" i="4"/>
  <c r="I18" i="4"/>
  <c r="BF15" i="3"/>
  <c r="BF14" i="3"/>
  <c r="BF13" i="3"/>
  <c r="BF12" i="3"/>
  <c r="BF11" i="3"/>
  <c r="BF10" i="3"/>
  <c r="BF9" i="3"/>
  <c r="BF8" i="3"/>
  <c r="BF7" i="3"/>
  <c r="BF6" i="3"/>
  <c r="BF5" i="3"/>
  <c r="BF4" i="3"/>
  <c r="BF3" i="3"/>
  <c r="BF2" i="3"/>
  <c r="AM6" i="1" l="1"/>
  <c r="AM3" i="1" l="1"/>
  <c r="AM4" i="1"/>
  <c r="AM5" i="1"/>
  <c r="AM7" i="1"/>
  <c r="AM8" i="1"/>
  <c r="AM9" i="1"/>
  <c r="AM10" i="1"/>
  <c r="AM11" i="1"/>
  <c r="AM12" i="1"/>
  <c r="AM13" i="1"/>
  <c r="AM14" i="1"/>
  <c r="AM15" i="1"/>
  <c r="AM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翁唯澤</author>
    <author>user</author>
  </authors>
  <commentList>
    <comment ref="A1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翁唯澤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DR </t>
        </r>
        <r>
          <rPr>
            <sz val="12"/>
            <color indexed="81"/>
            <rFont val="細明體"/>
            <family val="3"/>
            <charset val="136"/>
          </rPr>
          <t>填入幾個編號就會有幾個人參與這個月排班</t>
        </r>
      </text>
    </comment>
    <comment ref="AN1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翁唯澤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6"/>
            <color indexed="81"/>
            <rFont val="細明體"/>
            <family val="3"/>
            <charset val="136"/>
          </rPr>
          <t>如果有需要，可以在</t>
        </r>
        <r>
          <rPr>
            <sz val="16"/>
            <color indexed="81"/>
            <rFont val="Tahoma"/>
            <family val="2"/>
          </rPr>
          <t xml:space="preserve"> limit </t>
        </r>
        <r>
          <rPr>
            <sz val="16"/>
            <color indexed="81"/>
            <rFont val="細明體"/>
            <family val="3"/>
            <charset val="136"/>
          </rPr>
          <t>填入特定人最大的班數(也可以留空)，並在後面的格子填入希望他值班的班別加權
3: 星期六(值班隔天也是假日的情況)
2: 星期日(值班隔天是平日的情況)
1: 星期五(平日值班隔天假日的情況)
0: 平日隔天平日
-1: 星期四(off的日子隔天是假日的情況</t>
        </r>
      </text>
    </comment>
    <comment ref="B30" authorId="1" shapeId="0" xr:uid="{00000000-0006-0000-0000-000003000000}">
      <text>
        <r>
          <rPr>
            <b/>
            <sz val="12"/>
            <color indexed="81"/>
            <rFont val="細明體"/>
            <family val="3"/>
            <charset val="136"/>
          </rPr>
          <t>填入</t>
        </r>
        <r>
          <rPr>
            <b/>
            <sz val="12"/>
            <color indexed="81"/>
            <rFont val="Tahoma"/>
            <family val="2"/>
          </rPr>
          <t>X or V</t>
        </r>
        <r>
          <rPr>
            <b/>
            <sz val="12"/>
            <color indexed="81"/>
            <rFont val="細明體"/>
            <family val="3"/>
            <charset val="136"/>
          </rPr>
          <t>決定是否接受QOD的排法，會嘗試排50次並輸出QOD總數最少的版本</t>
        </r>
      </text>
    </comment>
    <comment ref="B31" authorId="1" shapeId="0" xr:uid="{00000000-0006-0000-0000-000004000000}">
      <text>
        <r>
          <rPr>
            <b/>
            <sz val="12"/>
            <color indexed="81"/>
            <rFont val="細明體"/>
            <family val="3"/>
            <charset val="136"/>
          </rPr>
          <t>填入正整數or X，預設7
&gt;&gt;不能值班天數超過7天的人會預設為可接受QOD值班，填入X則表示原則上不接受QOD值班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翁唯澤</author>
    <author>user</author>
  </authors>
  <commentList>
    <comment ref="T1" authorId="0" shapeId="0" xr:uid="{00000000-0006-0000-0200-000001000000}">
      <text>
        <r>
          <rPr>
            <b/>
            <sz val="9"/>
            <color indexed="81"/>
            <rFont val="細明體"/>
            <family val="3"/>
            <charset val="136"/>
          </rPr>
          <t>翁唯澤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DR </t>
        </r>
        <r>
          <rPr>
            <sz val="12"/>
            <color indexed="81"/>
            <rFont val="細明體"/>
            <family val="3"/>
            <charset val="136"/>
          </rPr>
          <t>填入幾個編號就會有幾個人參與這個月排班</t>
        </r>
      </text>
    </comment>
    <comment ref="BG1" authorId="0" shapeId="0" xr:uid="{00000000-0006-0000-0200-000002000000}">
      <text>
        <r>
          <rPr>
            <b/>
            <sz val="9"/>
            <color indexed="81"/>
            <rFont val="細明體"/>
            <family val="3"/>
            <charset val="136"/>
          </rPr>
          <t>翁唯澤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6"/>
            <color indexed="81"/>
            <rFont val="細明體"/>
            <family val="3"/>
            <charset val="136"/>
          </rPr>
          <t>如果有需要，可以在</t>
        </r>
        <r>
          <rPr>
            <sz val="16"/>
            <color indexed="81"/>
            <rFont val="Tahoma"/>
            <family val="2"/>
          </rPr>
          <t xml:space="preserve"> limit </t>
        </r>
        <r>
          <rPr>
            <sz val="16"/>
            <color indexed="81"/>
            <rFont val="細明體"/>
            <family val="3"/>
            <charset val="136"/>
          </rPr>
          <t>填入特定人最大的班數(也可以留空)，並在後面的格子填入希望他值班的班別加權
3: 星期六(值班隔天也是假日的情況)
2: 星期日(值班隔天是平日的情況)
1: 星期五(平日值班隔天假日的情況)
0: 平日隔天平日
-1: 星期四(off的日子隔天是假日的情況</t>
        </r>
      </text>
    </comment>
    <comment ref="U30" authorId="1" shapeId="0" xr:uid="{00000000-0006-0000-0200-000003000000}">
      <text>
        <r>
          <rPr>
            <b/>
            <sz val="12"/>
            <color indexed="81"/>
            <rFont val="細明體"/>
            <family val="3"/>
            <charset val="136"/>
          </rPr>
          <t>填入</t>
        </r>
        <r>
          <rPr>
            <b/>
            <sz val="12"/>
            <color indexed="81"/>
            <rFont val="Tahoma"/>
            <family val="2"/>
          </rPr>
          <t>X or V</t>
        </r>
        <r>
          <rPr>
            <b/>
            <sz val="12"/>
            <color indexed="81"/>
            <rFont val="細明體"/>
            <family val="3"/>
            <charset val="136"/>
          </rPr>
          <t>決定是否接受QOD的排法，會嘗試排50次並輸出QOD總數最少的版本</t>
        </r>
      </text>
    </comment>
    <comment ref="U31" authorId="1" shapeId="0" xr:uid="{00000000-0006-0000-0200-000004000000}">
      <text>
        <r>
          <rPr>
            <b/>
            <sz val="12"/>
            <color indexed="81"/>
            <rFont val="細明體"/>
            <family val="3"/>
            <charset val="136"/>
          </rPr>
          <t>填入正整數or X，預設7
&gt;&gt;不能值班天數超過7天的人會預設為可接受QOD值班，填入X則表示原則上不接受QOD值班</t>
        </r>
      </text>
    </comment>
  </commentList>
</comments>
</file>

<file path=xl/sharedStrings.xml><?xml version="1.0" encoding="utf-8"?>
<sst xmlns="http://schemas.openxmlformats.org/spreadsheetml/2006/main" count="259" uniqueCount="101">
  <si>
    <t>A</t>
    <phoneticPr fontId="1" type="noConversion"/>
  </si>
  <si>
    <t>皮諾可</t>
    <phoneticPr fontId="1" type="noConversion"/>
  </si>
  <si>
    <t>黑傑克</t>
    <phoneticPr fontId="1" type="noConversion"/>
  </si>
  <si>
    <t>南方仁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</si>
  <si>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</si>
  <si>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</si>
  <si>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</si>
  <si>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ID</t>
    <phoneticPr fontId="1" type="noConversion"/>
  </si>
  <si>
    <t>Name</t>
    <phoneticPr fontId="1" type="noConversion"/>
  </si>
  <si>
    <t>年休1</t>
    <phoneticPr fontId="1" type="noConversion"/>
  </si>
  <si>
    <t>年休2</t>
    <phoneticPr fontId="1" type="noConversion"/>
  </si>
  <si>
    <t>年休3</t>
    <phoneticPr fontId="1" type="noConversion"/>
  </si>
  <si>
    <t>年休4</t>
    <phoneticPr fontId="1" type="noConversion"/>
  </si>
  <si>
    <t>年休5</t>
    <phoneticPr fontId="1" type="noConversion"/>
  </si>
  <si>
    <t>年休6</t>
    <phoneticPr fontId="1" type="noConversion"/>
  </si>
  <si>
    <t>年休7</t>
    <phoneticPr fontId="1" type="noConversion"/>
  </si>
  <si>
    <t>年休8</t>
    <phoneticPr fontId="1" type="noConversion"/>
  </si>
  <si>
    <t>預假1</t>
    <phoneticPr fontId="1" type="noConversion"/>
  </si>
  <si>
    <t>預假2</t>
    <phoneticPr fontId="1" type="noConversion"/>
  </si>
  <si>
    <t>預假3</t>
    <phoneticPr fontId="1" type="noConversion"/>
  </si>
  <si>
    <t>年</t>
    <phoneticPr fontId="1" type="noConversion"/>
  </si>
  <si>
    <t>月</t>
    <phoneticPr fontId="1" type="noConversion"/>
  </si>
  <si>
    <t>holiday</t>
    <phoneticPr fontId="1" type="noConversion"/>
  </si>
  <si>
    <t>nonholiday</t>
    <phoneticPr fontId="1" type="noConversion"/>
  </si>
  <si>
    <t>DR</t>
    <phoneticPr fontId="1" type="noConversion"/>
  </si>
  <si>
    <t>年休9</t>
    <phoneticPr fontId="1" type="noConversion"/>
  </si>
  <si>
    <t>年休10</t>
    <phoneticPr fontId="1" type="noConversion"/>
  </si>
  <si>
    <t>年休11</t>
    <phoneticPr fontId="1" type="noConversion"/>
  </si>
  <si>
    <t>年休12</t>
    <phoneticPr fontId="1" type="noConversion"/>
  </si>
  <si>
    <t>年休13</t>
    <phoneticPr fontId="1" type="noConversion"/>
  </si>
  <si>
    <t>預假4</t>
    <phoneticPr fontId="1" type="noConversion"/>
  </si>
  <si>
    <t>預假5</t>
    <phoneticPr fontId="1" type="noConversion"/>
  </si>
  <si>
    <t>預假6</t>
    <phoneticPr fontId="1" type="noConversion"/>
  </si>
  <si>
    <t>預假7</t>
    <phoneticPr fontId="1" type="noConversion"/>
  </si>
  <si>
    <t>預假8</t>
    <phoneticPr fontId="1" type="noConversion"/>
  </si>
  <si>
    <t>預假9</t>
    <phoneticPr fontId="1" type="noConversion"/>
  </si>
  <si>
    <t>要排班的日期</t>
    <phoneticPr fontId="1" type="noConversion"/>
  </si>
  <si>
    <t>設定國定假日或補工作日</t>
    <phoneticPr fontId="1" type="noConversion"/>
  </si>
  <si>
    <t>DOC1111A</t>
    <phoneticPr fontId="1" type="noConversion"/>
  </si>
  <si>
    <t>DOC2222B</t>
    <phoneticPr fontId="1" type="noConversion"/>
  </si>
  <si>
    <t>DOC3333C</t>
    <phoneticPr fontId="1" type="noConversion"/>
  </si>
  <si>
    <t>date</t>
  </si>
  <si>
    <t>weekday</t>
  </si>
  <si>
    <t>星期四</t>
  </si>
  <si>
    <t>星期五</t>
  </si>
  <si>
    <t>星期六</t>
  </si>
  <si>
    <t>星期日</t>
  </si>
  <si>
    <t>星期一</t>
  </si>
  <si>
    <t>星期二</t>
  </si>
  <si>
    <t>星期三</t>
  </si>
  <si>
    <t>WD</t>
  </si>
  <si>
    <t>四</t>
  </si>
  <si>
    <t>五</t>
  </si>
  <si>
    <t>六</t>
  </si>
  <si>
    <t>日</t>
  </si>
  <si>
    <t>一</t>
  </si>
  <si>
    <t>二</t>
  </si>
  <si>
    <t>三</t>
  </si>
  <si>
    <t>holiday</t>
  </si>
  <si>
    <t>A</t>
  </si>
  <si>
    <t>C</t>
  </si>
  <si>
    <t>D</t>
  </si>
  <si>
    <t>B</t>
  </si>
  <si>
    <t>人員</t>
  </si>
  <si>
    <t>總值班天數</t>
  </si>
  <si>
    <t>limit</t>
    <phoneticPr fontId="1" type="noConversion"/>
  </si>
  <si>
    <t>預假10</t>
    <phoneticPr fontId="1" type="noConversion"/>
  </si>
  <si>
    <t>預假11</t>
    <phoneticPr fontId="1" type="noConversion"/>
  </si>
  <si>
    <t>預假12</t>
    <phoneticPr fontId="1" type="noConversion"/>
  </si>
  <si>
    <t>預假13</t>
    <phoneticPr fontId="1" type="noConversion"/>
  </si>
  <si>
    <t>預假14</t>
    <phoneticPr fontId="1" type="noConversion"/>
  </si>
  <si>
    <t>2. 填入年份月份(整數)</t>
    <phoneticPr fontId="1" type="noConversion"/>
  </si>
  <si>
    <t>2: 星期日(值班隔天是平日的情況)</t>
  </si>
  <si>
    <t>1: 星期五(平日值班隔天假日的情況)</t>
  </si>
  <si>
    <t>-1: 星期四(off的日子隔天是假日的情況</t>
  </si>
  <si>
    <t>3: 星期六(最累)(值班隔天也是假日的情況)</t>
    <phoneticPr fontId="1" type="noConversion"/>
  </si>
  <si>
    <t>範例:</t>
    <phoneticPr fontId="1" type="noConversion"/>
  </si>
  <si>
    <t>3. 填入國定假日跟補休日，若無可免(格式 YYYY/MM/DD)</t>
    <phoneticPr fontId="1" type="noConversion"/>
  </si>
  <si>
    <t>0: 平日值班隔天平日</t>
    <phoneticPr fontId="1" type="noConversion"/>
  </si>
  <si>
    <t>值班日加權</t>
  </si>
  <si>
    <t>1. DR 放入任意人數代號，後方年休跟預班可以隨意填入整數日期(不能所有人都預同一天)</t>
    <phoneticPr fontId="1" type="noConversion"/>
  </si>
  <si>
    <t xml:space="preserve">4. 如果有要微調某幾個人的班數，到AH1的區域在limit填入想要誰上限幾個班，並在後面的格子填上上限班數的加權(limit = 3 + 3, 2, 1 =&gt; 上限三班周六周日周五各一班): </t>
    <phoneticPr fontId="1" type="noConversion"/>
  </si>
  <si>
    <t>值班日加權是設計讓每個人值班疲勞程度能差不多的加權值</t>
    <phoneticPr fontId="1" type="noConversion"/>
  </si>
  <si>
    <t>值班日加權</t>
    <phoneticPr fontId="1" type="noConversion"/>
  </si>
  <si>
    <t>5. 開啟排班exe執行檔，會依照班數盡量相當，假日班盡量平均，年休跟年休前一天不執班，預班當天不值班，不QOD值班的原則排班</t>
    <phoneticPr fontId="1" type="noConversion"/>
  </si>
  <si>
    <t>ps. 當嘗試超過3000次，會取消星期四加權，增加排班成功率</t>
    <phoneticPr fontId="1" type="noConversion"/>
  </si>
  <si>
    <t>QOD</t>
  </si>
  <si>
    <t>X</t>
    <phoneticPr fontId="1" type="noConversion"/>
  </si>
  <si>
    <t>V</t>
    <phoneticPr fontId="1" type="noConversion"/>
  </si>
  <si>
    <t>QOD=V &gt;&gt; 可接受QOD</t>
    <phoneticPr fontId="1" type="noConversion"/>
  </si>
  <si>
    <t>朝田隆太郎</t>
    <phoneticPr fontId="1" type="noConversion"/>
  </si>
  <si>
    <t>DOC5555D</t>
    <phoneticPr fontId="1" type="noConversion"/>
  </si>
  <si>
    <t>預值1</t>
    <phoneticPr fontId="1" type="noConversion"/>
  </si>
  <si>
    <t>預值2</t>
    <phoneticPr fontId="1" type="noConversion"/>
  </si>
  <si>
    <t>預值3</t>
    <phoneticPr fontId="1" type="noConversion"/>
  </si>
  <si>
    <t>預值4</t>
    <phoneticPr fontId="1" type="noConversion"/>
  </si>
  <si>
    <t>預值5</t>
    <phoneticPr fontId="1" type="noConversion"/>
  </si>
  <si>
    <t>預值6</t>
    <phoneticPr fontId="1" type="noConversion"/>
  </si>
  <si>
    <t>預值7</t>
    <phoneticPr fontId="1" type="noConversion"/>
  </si>
  <si>
    <t>X</t>
  </si>
  <si>
    <t>預班+年休超過??天的人允許QOD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</si>
</sst>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12"/>
      <color indexed="81"/>
      <name val="Tahoma"/>
      <family val="2"/>
    </font>
    <font>
      <sz val="12"/>
      <color indexed="81"/>
      <name val="細明體"/>
      <family val="3"/>
      <charset val="136"/>
    </font>
    <font>
      <sz val="16"/>
      <color indexed="81"/>
      <name val="細明體"/>
      <family val="3"/>
      <charset val="136"/>
    </font>
    <font>
      <sz val="16"/>
      <color indexed="81"/>
      <name val="Tahoma"/>
      <family val="2"/>
    </font>
    <font>
      <b/>
      <sz val="12"/>
      <color indexed="81"/>
      <name val="細明體"/>
      <family val="3"/>
      <charset val="136"/>
    </font>
    <font>
      <b/>
      <sz val="12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14" fontId="0" fillId="2" borderId="0" xfId="0" applyNumberFormat="1" applyFill="1">
      <alignment vertical="center"/>
    </xf>
    <xf numFmtId="0" fontId="0" fillId="3" borderId="0" xfId="0" applyFill="1">
      <alignment vertical="center"/>
    </xf>
  </cellXfs>
  <cellStyles count="1">
    <cellStyle name="一般" xfId="0" builtinId="0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170888</xdr:colOff>
      <xdr:row>15</xdr:row>
      <xdr:rowOff>130828</xdr:rowOff>
    </xdr:from>
    <xdr:to>
      <xdr:col>26</xdr:col>
      <xdr:colOff>459441</xdr:colOff>
      <xdr:row>23</xdr:row>
      <xdr:rowOff>67234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706594" y="3324504"/>
          <a:ext cx="11539259" cy="163970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zh-TW" sz="1600"/>
            <a:t>1.</a:t>
          </a:r>
          <a:r>
            <a:rPr lang="en-US" altLang="zh-TW" sz="1600" baseline="0"/>
            <a:t> </a:t>
          </a:r>
          <a:r>
            <a:rPr lang="zh-TW" altLang="en-US" sz="1600" baseline="0"/>
            <a:t>打開此</a:t>
          </a:r>
          <a:r>
            <a:rPr lang="en-US" altLang="zh-TW" sz="1600" baseline="0"/>
            <a:t>excel,</a:t>
          </a:r>
          <a:r>
            <a:rPr lang="zh-TW" altLang="en-US" sz="1600" baseline="0"/>
            <a:t> 黃色框可編輯</a:t>
          </a:r>
          <a:r>
            <a:rPr lang="en-US" altLang="zh-TW" sz="1600" baseline="0"/>
            <a:t>(</a:t>
          </a:r>
          <a:r>
            <a:rPr lang="zh-TW" altLang="en-US" sz="1600" baseline="0"/>
            <a:t>詳細說明請看</a:t>
          </a:r>
          <a:r>
            <a:rPr lang="en-US" altLang="zh-TW" sz="1600" baseline="0"/>
            <a:t>'</a:t>
          </a:r>
          <a:r>
            <a:rPr lang="zh-TW" altLang="en-US" sz="1600" baseline="0"/>
            <a:t>排班步驟</a:t>
          </a:r>
          <a:r>
            <a:rPr lang="en-US" altLang="zh-TW" sz="1600" baseline="0"/>
            <a:t>')</a:t>
          </a:r>
        </a:p>
        <a:p>
          <a:pPr algn="l"/>
          <a:r>
            <a:rPr lang="en-US" altLang="zh-TW" sz="1600" baseline="0"/>
            <a:t>2.</a:t>
          </a:r>
          <a:r>
            <a:rPr lang="zh-TW" altLang="en-US" sz="1600" baseline="0"/>
            <a:t> 開啟真排班小幫手改</a:t>
          </a:r>
          <a:r>
            <a:rPr lang="en-US" altLang="zh-TW" sz="1600" baseline="0"/>
            <a:t>.exe</a:t>
          </a:r>
          <a:r>
            <a:rPr lang="zh-TW" altLang="en-US" sz="1600" baseline="0"/>
            <a:t> </a:t>
          </a:r>
          <a:r>
            <a:rPr lang="en-US" altLang="zh-TW" sz="1600" baseline="0"/>
            <a:t>(</a:t>
          </a:r>
          <a:r>
            <a:rPr lang="zh-TW" altLang="en-US" sz="1600" baseline="0"/>
            <a:t>可用超連結</a:t>
          </a:r>
          <a:r>
            <a:rPr lang="en-US" altLang="zh-TW" sz="1600" baseline="0"/>
            <a:t>)</a:t>
          </a:r>
        </a:p>
        <a:p>
          <a:pPr algn="l"/>
          <a:r>
            <a:rPr lang="en-US" altLang="zh-TW" sz="1600" baseline="0"/>
            <a:t>3. </a:t>
          </a:r>
          <a:r>
            <a:rPr lang="zh-TW" altLang="en-US" sz="1600" baseline="0"/>
            <a:t>排好的班表會自動生成到 </a:t>
          </a:r>
          <a:r>
            <a:rPr lang="en-US" altLang="zh-TW" sz="1600" baseline="0"/>
            <a:t>'</a:t>
          </a:r>
          <a:r>
            <a:rPr lang="zh-TW" altLang="en-US" sz="1600" baseline="0"/>
            <a:t>班表</a:t>
          </a:r>
          <a:r>
            <a:rPr lang="en-US" altLang="zh-TW" sz="1600" baseline="0"/>
            <a:t>'</a:t>
          </a:r>
        </a:p>
        <a:p>
          <a:pPr algn="l"/>
          <a:r>
            <a:rPr lang="en-US" altLang="zh-TW" sz="1600" baseline="0"/>
            <a:t>4. </a:t>
          </a:r>
          <a:r>
            <a:rPr lang="zh-TW" altLang="en-US" sz="1600" baseline="0"/>
            <a:t>超過</a:t>
          </a:r>
          <a:r>
            <a:rPr lang="en-US" altLang="zh-TW" sz="1600" baseline="0"/>
            <a:t>3000</a:t>
          </a:r>
          <a:r>
            <a:rPr lang="zh-TW" altLang="en-US" sz="1600" baseline="0"/>
            <a:t>次周四會算一般平日超過</a:t>
          </a:r>
          <a:r>
            <a:rPr lang="en-US" altLang="zh-TW" sz="1600" baseline="0"/>
            <a:t>6000</a:t>
          </a:r>
          <a:r>
            <a:rPr lang="zh-TW" altLang="en-US" sz="1600" baseline="0"/>
            <a:t>次自動開啟</a:t>
          </a:r>
          <a:r>
            <a:rPr lang="en-US" altLang="zh-TW" sz="1600" baseline="0"/>
            <a:t>QOD</a:t>
          </a:r>
        </a:p>
        <a:p>
          <a:pPr algn="l"/>
          <a:r>
            <a:rPr lang="en-US" altLang="zh-TW" sz="1600" baseline="0"/>
            <a:t>5. </a:t>
          </a:r>
          <a:r>
            <a:rPr lang="zh-TW" altLang="en-US" sz="1600" baseline="0"/>
            <a:t>若有限制某位排班的天數，需要填入右側的</a:t>
          </a:r>
          <a:r>
            <a:rPr lang="en-US" altLang="zh-TW" sz="1600" baseline="0"/>
            <a:t>limit</a:t>
          </a:r>
          <a:r>
            <a:rPr lang="zh-TW" altLang="en-US" sz="1600" baseline="0"/>
            <a:t>並在後方填入應該值班的這幾天的加權</a:t>
          </a:r>
          <a:r>
            <a:rPr lang="en-US" altLang="zh-TW" sz="1600" baseline="0"/>
            <a:t>(</a:t>
          </a:r>
          <a:r>
            <a:rPr lang="zh-TW" altLang="en-US" sz="1600" baseline="0"/>
            <a:t>週六</a:t>
          </a:r>
          <a:r>
            <a:rPr lang="en-US" altLang="zh-TW" sz="1600" baseline="0"/>
            <a:t>=3,</a:t>
          </a:r>
          <a:r>
            <a:rPr lang="zh-TW" altLang="en-US" sz="1600" baseline="0"/>
            <a:t>日</a:t>
          </a:r>
          <a:r>
            <a:rPr lang="en-US" altLang="zh-TW" sz="1600" baseline="0"/>
            <a:t>=2,</a:t>
          </a:r>
          <a:r>
            <a:rPr lang="zh-TW" altLang="en-US" sz="1600" baseline="0"/>
            <a:t> 五</a:t>
          </a:r>
          <a:r>
            <a:rPr lang="en-US" altLang="zh-TW" sz="1600" baseline="0"/>
            <a:t>=1,</a:t>
          </a:r>
          <a:r>
            <a:rPr lang="zh-TW" altLang="en-US" sz="1600" baseline="0"/>
            <a:t> 一</a:t>
          </a:r>
          <a:r>
            <a:rPr lang="en-US" altLang="zh-TW" sz="1600" baseline="0"/>
            <a:t>~</a:t>
          </a:r>
          <a:r>
            <a:rPr lang="zh-TW" altLang="en-US" sz="1600" baseline="0"/>
            <a:t>三</a:t>
          </a:r>
          <a:r>
            <a:rPr lang="en-US" altLang="zh-TW" sz="1600" baseline="0"/>
            <a:t>=0</a:t>
          </a:r>
          <a:r>
            <a:rPr lang="zh-TW" altLang="en-US" sz="1600" baseline="0"/>
            <a:t> </a:t>
          </a:r>
          <a:r>
            <a:rPr lang="en-US" altLang="zh-TW" sz="1600" baseline="0"/>
            <a:t>,</a:t>
          </a:r>
          <a:r>
            <a:rPr lang="zh-TW" altLang="en-US" sz="1600" baseline="0"/>
            <a:t>四</a:t>
          </a:r>
          <a:r>
            <a:rPr lang="en-US" altLang="zh-TW" sz="1600" baseline="0"/>
            <a:t>=-1)</a:t>
          </a:r>
          <a:endParaRPr lang="zh-TW" altLang="en-US" sz="16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647700</xdr:colOff>
      <xdr:row>16</xdr:row>
      <xdr:rowOff>4762</xdr:rowOff>
    </xdr:from>
    <xdr:to>
      <xdr:col>32</xdr:col>
      <xdr:colOff>85725</xdr:colOff>
      <xdr:row>21</xdr:row>
      <xdr:rowOff>114299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4838700" y="3357562"/>
          <a:ext cx="4581525" cy="115728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600"/>
            <a:t>1.</a:t>
          </a:r>
          <a:r>
            <a:rPr lang="en-US" altLang="zh-TW" sz="1600" baseline="0"/>
            <a:t> </a:t>
          </a:r>
          <a:r>
            <a:rPr lang="zh-TW" altLang="en-US" sz="1600" baseline="0"/>
            <a:t>打開此</a:t>
          </a:r>
          <a:r>
            <a:rPr lang="en-US" altLang="zh-TW" sz="1600" baseline="0"/>
            <a:t>excel,</a:t>
          </a:r>
          <a:r>
            <a:rPr lang="zh-TW" altLang="en-US" sz="1600" baseline="0"/>
            <a:t> 黃色框可編輯</a:t>
          </a:r>
          <a:endParaRPr lang="en-US" altLang="zh-TW" sz="1600" baseline="0"/>
        </a:p>
        <a:p>
          <a:pPr algn="ctr"/>
          <a:r>
            <a:rPr lang="en-US" altLang="zh-TW" sz="1600" baseline="0"/>
            <a:t>2.</a:t>
          </a:r>
          <a:r>
            <a:rPr lang="zh-TW" altLang="en-US" sz="1600" baseline="0"/>
            <a:t> 打開排班小幫手試作型</a:t>
          </a:r>
          <a:r>
            <a:rPr lang="en-US" altLang="zh-TW" sz="1600" baseline="0"/>
            <a:t>2.exe</a:t>
          </a:r>
          <a:r>
            <a:rPr lang="zh-TW" altLang="en-US" sz="1600" baseline="0"/>
            <a:t> </a:t>
          </a:r>
          <a:r>
            <a:rPr lang="en-US" altLang="zh-TW" sz="1600" baseline="0"/>
            <a:t>(</a:t>
          </a:r>
          <a:r>
            <a:rPr lang="zh-TW" altLang="en-US" sz="1600" baseline="0"/>
            <a:t>可用超連結</a:t>
          </a:r>
          <a:r>
            <a:rPr lang="en-US" altLang="zh-TW" sz="1600" baseline="0"/>
            <a:t>)</a:t>
          </a:r>
        </a:p>
        <a:p>
          <a:pPr algn="ctr"/>
          <a:r>
            <a:rPr lang="en-US" altLang="zh-TW" sz="1600" baseline="0"/>
            <a:t>3. </a:t>
          </a:r>
          <a:r>
            <a:rPr lang="zh-TW" altLang="en-US" sz="1600" baseline="0"/>
            <a:t>會自動生成到班表</a:t>
          </a:r>
          <a:r>
            <a:rPr lang="en-US" altLang="zh-TW" sz="1600" baseline="0"/>
            <a:t>sheet</a:t>
          </a:r>
          <a:endParaRPr lang="zh-TW" altLang="en-US" sz="1600"/>
        </a:p>
      </xdr:txBody>
    </xdr:sp>
    <xdr:clientData/>
  </xdr:twoCellAnchor>
  <xdr:twoCellAnchor>
    <xdr:from>
      <xdr:col>23</xdr:col>
      <xdr:colOff>647700</xdr:colOff>
      <xdr:row>16</xdr:row>
      <xdr:rowOff>4762</xdr:rowOff>
    </xdr:from>
    <xdr:to>
      <xdr:col>32</xdr:col>
      <xdr:colOff>85725</xdr:colOff>
      <xdr:row>21</xdr:row>
      <xdr:rowOff>114299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4838700" y="3357562"/>
          <a:ext cx="4581525" cy="115728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600"/>
            <a:t>1.</a:t>
          </a:r>
          <a:r>
            <a:rPr lang="en-US" altLang="zh-TW" sz="1600" baseline="0"/>
            <a:t> </a:t>
          </a:r>
          <a:r>
            <a:rPr lang="zh-TW" altLang="en-US" sz="1600" baseline="0"/>
            <a:t>打開此</a:t>
          </a:r>
          <a:r>
            <a:rPr lang="en-US" altLang="zh-TW" sz="1600" baseline="0"/>
            <a:t>excel,</a:t>
          </a:r>
          <a:r>
            <a:rPr lang="zh-TW" altLang="en-US" sz="1600" baseline="0"/>
            <a:t> 黃色框可編輯</a:t>
          </a:r>
          <a:endParaRPr lang="en-US" altLang="zh-TW" sz="1600" baseline="0"/>
        </a:p>
        <a:p>
          <a:pPr algn="ctr"/>
          <a:r>
            <a:rPr lang="en-US" altLang="zh-TW" sz="1600" baseline="0"/>
            <a:t>2.</a:t>
          </a:r>
          <a:r>
            <a:rPr lang="zh-TW" altLang="en-US" sz="1600" baseline="0"/>
            <a:t> 打開排班小幫手試作型</a:t>
          </a:r>
          <a:r>
            <a:rPr lang="en-US" altLang="zh-TW" sz="1600" baseline="0"/>
            <a:t>2.exe</a:t>
          </a:r>
          <a:r>
            <a:rPr lang="zh-TW" altLang="en-US" sz="1600" baseline="0"/>
            <a:t> </a:t>
          </a:r>
          <a:r>
            <a:rPr lang="en-US" altLang="zh-TW" sz="1600" baseline="0"/>
            <a:t>(</a:t>
          </a:r>
          <a:r>
            <a:rPr lang="zh-TW" altLang="en-US" sz="1600" baseline="0"/>
            <a:t>可用超連結</a:t>
          </a:r>
          <a:r>
            <a:rPr lang="en-US" altLang="zh-TW" sz="1600" baseline="0"/>
            <a:t>)</a:t>
          </a:r>
        </a:p>
        <a:p>
          <a:pPr algn="ctr"/>
          <a:r>
            <a:rPr lang="en-US" altLang="zh-TW" sz="1600" baseline="0"/>
            <a:t>3. </a:t>
          </a:r>
          <a:r>
            <a:rPr lang="zh-TW" altLang="en-US" sz="1600" baseline="0"/>
            <a:t>會自動生成到班表</a:t>
          </a:r>
          <a:r>
            <a:rPr lang="en-US" altLang="zh-TW" sz="1600" baseline="0"/>
            <a:t>sheet</a:t>
          </a:r>
          <a:endParaRPr lang="zh-TW" altLang="en-US" sz="1600"/>
        </a:p>
      </xdr:txBody>
    </xdr:sp>
    <xdr:clientData/>
  </xdr:twoCellAnchor>
  <xdr:twoCellAnchor>
    <xdr:from>
      <xdr:col>24</xdr:col>
      <xdr:colOff>170888</xdr:colOff>
      <xdr:row>15</xdr:row>
      <xdr:rowOff>130828</xdr:rowOff>
    </xdr:from>
    <xdr:to>
      <xdr:col>45</xdr:col>
      <xdr:colOff>459441</xdr:colOff>
      <xdr:row>23</xdr:row>
      <xdr:rowOff>67234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5695388" y="3274078"/>
          <a:ext cx="11566153" cy="161280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zh-TW" sz="1600"/>
            <a:t>1.</a:t>
          </a:r>
          <a:r>
            <a:rPr lang="en-US" altLang="zh-TW" sz="1600" baseline="0"/>
            <a:t> </a:t>
          </a:r>
          <a:r>
            <a:rPr lang="zh-TW" altLang="en-US" sz="1600" baseline="0"/>
            <a:t>打開此</a:t>
          </a:r>
          <a:r>
            <a:rPr lang="en-US" altLang="zh-TW" sz="1600" baseline="0"/>
            <a:t>excel,</a:t>
          </a:r>
          <a:r>
            <a:rPr lang="zh-TW" altLang="en-US" sz="1600" baseline="0"/>
            <a:t> 黃色框可編輯</a:t>
          </a:r>
          <a:r>
            <a:rPr lang="en-US" altLang="zh-TW" sz="1600" baseline="0"/>
            <a:t>(</a:t>
          </a:r>
          <a:r>
            <a:rPr lang="zh-TW" altLang="en-US" sz="1600" baseline="0"/>
            <a:t>詳細說明請看</a:t>
          </a:r>
          <a:r>
            <a:rPr lang="en-US" altLang="zh-TW" sz="1600" baseline="0"/>
            <a:t>'</a:t>
          </a:r>
          <a:r>
            <a:rPr lang="zh-TW" altLang="en-US" sz="1600" baseline="0"/>
            <a:t>排班步驟</a:t>
          </a:r>
          <a:r>
            <a:rPr lang="en-US" altLang="zh-TW" sz="1600" baseline="0"/>
            <a:t>')</a:t>
          </a:r>
        </a:p>
        <a:p>
          <a:pPr algn="l"/>
          <a:r>
            <a:rPr lang="en-US" altLang="zh-TW" sz="1600" baseline="0"/>
            <a:t>2.</a:t>
          </a:r>
          <a:r>
            <a:rPr lang="zh-TW" altLang="en-US" sz="1600" baseline="0"/>
            <a:t> 開啟真排班小幫手改</a:t>
          </a:r>
          <a:r>
            <a:rPr lang="en-US" altLang="zh-TW" sz="1600" baseline="0"/>
            <a:t>.exe</a:t>
          </a:r>
          <a:r>
            <a:rPr lang="zh-TW" altLang="en-US" sz="1600" baseline="0"/>
            <a:t> </a:t>
          </a:r>
          <a:r>
            <a:rPr lang="en-US" altLang="zh-TW" sz="1600" baseline="0"/>
            <a:t>(</a:t>
          </a:r>
          <a:r>
            <a:rPr lang="zh-TW" altLang="en-US" sz="1600" baseline="0"/>
            <a:t>可用超連結</a:t>
          </a:r>
          <a:r>
            <a:rPr lang="en-US" altLang="zh-TW" sz="1600" baseline="0"/>
            <a:t>)</a:t>
          </a:r>
        </a:p>
        <a:p>
          <a:pPr algn="l"/>
          <a:r>
            <a:rPr lang="en-US" altLang="zh-TW" sz="1600" baseline="0"/>
            <a:t>3. </a:t>
          </a:r>
          <a:r>
            <a:rPr lang="zh-TW" altLang="en-US" sz="1600" baseline="0"/>
            <a:t>排好的班表會自動生成到 </a:t>
          </a:r>
          <a:r>
            <a:rPr lang="en-US" altLang="zh-TW" sz="1600" baseline="0"/>
            <a:t>'</a:t>
          </a:r>
          <a:r>
            <a:rPr lang="zh-TW" altLang="en-US" sz="1600" baseline="0"/>
            <a:t>班表</a:t>
          </a:r>
          <a:r>
            <a:rPr lang="en-US" altLang="zh-TW" sz="1600" baseline="0"/>
            <a:t>'</a:t>
          </a:r>
        </a:p>
        <a:p>
          <a:pPr algn="l"/>
          <a:r>
            <a:rPr lang="en-US" altLang="zh-TW" sz="1600" baseline="0"/>
            <a:t>4. </a:t>
          </a:r>
          <a:r>
            <a:rPr lang="zh-TW" altLang="en-US" sz="1600" baseline="0"/>
            <a:t>超過</a:t>
          </a:r>
          <a:r>
            <a:rPr lang="en-US" altLang="zh-TW" sz="1600" baseline="0"/>
            <a:t>3000</a:t>
          </a:r>
          <a:r>
            <a:rPr lang="zh-TW" altLang="en-US" sz="1600" baseline="0"/>
            <a:t>次周四會算一般平日超過</a:t>
          </a:r>
          <a:r>
            <a:rPr lang="en-US" altLang="zh-TW" sz="1600" baseline="0"/>
            <a:t>6000</a:t>
          </a:r>
          <a:r>
            <a:rPr lang="zh-TW" altLang="en-US" sz="1600" baseline="0"/>
            <a:t>次自動開啟</a:t>
          </a:r>
          <a:r>
            <a:rPr lang="en-US" altLang="zh-TW" sz="1600" baseline="0"/>
            <a:t>QOD</a:t>
          </a:r>
        </a:p>
        <a:p>
          <a:pPr algn="l"/>
          <a:r>
            <a:rPr lang="en-US" altLang="zh-TW" sz="1600" baseline="0"/>
            <a:t>5. </a:t>
          </a:r>
          <a:r>
            <a:rPr lang="zh-TW" altLang="en-US" sz="1600" baseline="0"/>
            <a:t>若有限制某位排班的天數，需要填入右側的</a:t>
          </a:r>
          <a:r>
            <a:rPr lang="en-US" altLang="zh-TW" sz="1600" baseline="0"/>
            <a:t>limit</a:t>
          </a:r>
          <a:r>
            <a:rPr lang="zh-TW" altLang="en-US" sz="1600" baseline="0"/>
            <a:t>並在後方填入應該值班的這幾天的加權</a:t>
          </a:r>
          <a:r>
            <a:rPr lang="en-US" altLang="zh-TW" sz="1600" baseline="0"/>
            <a:t>(</a:t>
          </a:r>
          <a:r>
            <a:rPr lang="zh-TW" altLang="en-US" sz="1600" baseline="0"/>
            <a:t>週六</a:t>
          </a:r>
          <a:r>
            <a:rPr lang="en-US" altLang="zh-TW" sz="1600" baseline="0"/>
            <a:t>=3,</a:t>
          </a:r>
          <a:r>
            <a:rPr lang="zh-TW" altLang="en-US" sz="1600" baseline="0"/>
            <a:t>日</a:t>
          </a:r>
          <a:r>
            <a:rPr lang="en-US" altLang="zh-TW" sz="1600" baseline="0"/>
            <a:t>=2,</a:t>
          </a:r>
          <a:r>
            <a:rPr lang="zh-TW" altLang="en-US" sz="1600" baseline="0"/>
            <a:t> 五</a:t>
          </a:r>
          <a:r>
            <a:rPr lang="en-US" altLang="zh-TW" sz="1600" baseline="0"/>
            <a:t>=1,</a:t>
          </a:r>
          <a:r>
            <a:rPr lang="zh-TW" altLang="en-US" sz="1600" baseline="0"/>
            <a:t> 一</a:t>
          </a:r>
          <a:r>
            <a:rPr lang="en-US" altLang="zh-TW" sz="1600" baseline="0"/>
            <a:t>~</a:t>
          </a:r>
          <a:r>
            <a:rPr lang="zh-TW" altLang="en-US" sz="1600" baseline="0"/>
            <a:t>三</a:t>
          </a:r>
          <a:r>
            <a:rPr lang="en-US" altLang="zh-TW" sz="1600" baseline="0"/>
            <a:t>=0</a:t>
          </a:r>
          <a:r>
            <a:rPr lang="zh-TW" altLang="en-US" sz="1600" baseline="0"/>
            <a:t> </a:t>
          </a:r>
          <a:r>
            <a:rPr lang="en-US" altLang="zh-TW" sz="1600" baseline="0"/>
            <a:t>,</a:t>
          </a:r>
          <a:r>
            <a:rPr lang="zh-TW" altLang="en-US" sz="1600" baseline="0"/>
            <a:t>四</a:t>
          </a:r>
          <a:r>
            <a:rPr lang="en-US" altLang="zh-TW" sz="1600" baseline="0"/>
            <a:t>=-1)</a:t>
          </a:r>
          <a:endParaRPr lang="zh-TW" altLang="en-US" sz="16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6"/>
  <sheetViews>
    <sheetView zoomScale="85" zoomScaleNormal="85" workbookViewId="0">
      <selection activeCell="O9" sqref="O9"/>
    </sheetView>
  </sheetViews>
  <sheetFormatPr defaultRowHeight="16.5" x14ac:dyDescent="0.25"/>
  <cols>
    <col min="1" max="1" width="30.625" customWidth="1"/>
    <col min="2" max="2" width="11.875" customWidth="1"/>
    <col min="3" max="3" width="11" bestFit="1" customWidth="1"/>
    <col min="4" max="5" width="9.5" customWidth="1"/>
    <col min="6" max="6" width="8.5" bestFit="1" customWidth="1"/>
    <col min="7" max="7" width="9.5" bestFit="1" customWidth="1"/>
    <col min="8" max="12" width="6.5" bestFit="1" customWidth="1"/>
    <col min="13" max="16" width="7.5" bestFit="1" customWidth="1"/>
    <col min="17" max="25" width="6.5" bestFit="1" customWidth="1"/>
    <col min="39" max="39" width="11.875" bestFit="1" customWidth="1"/>
  </cols>
  <sheetData>
    <row r="1" spans="1:50" x14ac:dyDescent="0.25">
      <c r="A1" s="1" t="s">
        <v>24</v>
      </c>
      <c r="B1" s="1" t="s">
        <v>8</v>
      </c>
      <c r="C1" s="1" t="s">
        <v>7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17</v>
      </c>
      <c r="R1" s="1" t="s">
        <v>18</v>
      </c>
      <c r="S1" s="1" t="s">
        <v>19</v>
      </c>
      <c r="T1" s="1" t="s">
        <v>30</v>
      </c>
      <c r="U1" s="1" t="s">
        <v>31</v>
      </c>
      <c r="V1" s="1" t="s">
        <v>32</v>
      </c>
      <c r="W1" s="1" t="s">
        <v>33</v>
      </c>
      <c r="X1" s="1" t="s">
        <v>34</v>
      </c>
      <c r="Y1" s="1" t="s">
        <v>35</v>
      </c>
      <c r="Z1" s="1" t="s">
        <v>66</v>
      </c>
      <c r="AA1" s="1" t="s">
        <v>67</v>
      </c>
      <c r="AB1" s="1" t="s">
        <v>68</v>
      </c>
      <c r="AC1" s="1" t="s">
        <v>69</v>
      </c>
      <c r="AD1" s="1" t="s">
        <v>70</v>
      </c>
      <c r="AE1" s="3" t="s">
        <v>92</v>
      </c>
      <c r="AF1" s="3" t="s">
        <v>93</v>
      </c>
      <c r="AG1" s="3" t="s">
        <v>94</v>
      </c>
      <c r="AH1" s="3" t="s">
        <v>95</v>
      </c>
      <c r="AI1" s="3" t="s">
        <v>96</v>
      </c>
      <c r="AJ1" s="3" t="s">
        <v>97</v>
      </c>
      <c r="AK1" s="3" t="s">
        <v>98</v>
      </c>
      <c r="AM1" s="1" t="s">
        <v>83</v>
      </c>
      <c r="AN1" s="1" t="s">
        <v>65</v>
      </c>
      <c r="AO1" s="1">
        <v>1</v>
      </c>
      <c r="AP1" s="1">
        <v>2</v>
      </c>
      <c r="AQ1" s="1">
        <v>3</v>
      </c>
      <c r="AR1" s="1">
        <v>4</v>
      </c>
      <c r="AS1" s="1">
        <v>5</v>
      </c>
      <c r="AT1" s="1">
        <v>6</v>
      </c>
      <c r="AU1" s="1">
        <v>7</v>
      </c>
      <c r="AV1" s="1">
        <v>8</v>
      </c>
      <c r="AW1" s="1">
        <v>9</v>
      </c>
      <c r="AX1" s="1">
        <v>10</v>
      </c>
    </row>
    <row r="2" spans="1:50" x14ac:dyDescent="0.25">
      <c r="A2" s="1" t="s">
        <v>0</v>
      </c>
      <c r="B2" s="1" t="s">
        <v>1</v>
      </c>
      <c r="C2" s="1" t="s">
        <v>38</v>
      </c>
      <c r="D2" s="1">
        <v>22</v>
      </c>
      <c r="E2" s="1">
        <v>23</v>
      </c>
      <c r="F2" s="1">
        <v>24</v>
      </c>
      <c r="G2" s="1">
        <v>25</v>
      </c>
      <c r="H2" s="1">
        <v>26</v>
      </c>
      <c r="I2" s="1">
        <v>27</v>
      </c>
      <c r="J2" s="1">
        <v>28</v>
      </c>
      <c r="K2" s="1">
        <v>29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3"/>
      <c r="AF2" s="3"/>
      <c r="AG2" s="3"/>
      <c r="AH2" s="3"/>
      <c r="AI2" s="3"/>
      <c r="AJ2" s="3"/>
      <c r="AK2" s="3"/>
      <c r="AM2" s="1" t="str">
        <f>IF(ISBLANK(A2),"",A2)</f>
        <v>A</v>
      </c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1" t="s">
        <v>4</v>
      </c>
      <c r="B3" s="1" t="s">
        <v>2</v>
      </c>
      <c r="C3" s="1" t="s">
        <v>39</v>
      </c>
      <c r="D3" s="1">
        <v>11</v>
      </c>
      <c r="E3" s="1">
        <v>15</v>
      </c>
      <c r="F3" s="1">
        <v>16</v>
      </c>
      <c r="G3" s="1">
        <v>17</v>
      </c>
      <c r="H3" s="1">
        <v>18</v>
      </c>
      <c r="I3" s="1">
        <v>19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3"/>
      <c r="AF3" s="3"/>
      <c r="AG3" s="3"/>
      <c r="AH3" s="3"/>
      <c r="AI3" s="3"/>
      <c r="AJ3" s="3"/>
      <c r="AK3" s="3"/>
      <c r="AM3" s="1" t="str">
        <f t="shared" ref="AM3:AM15" si="0">IF(ISBLANK(A3),"",A3)</f>
        <v>B</v>
      </c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 t="s">
        <v>5</v>
      </c>
      <c r="B4" s="1" t="s">
        <v>3</v>
      </c>
      <c r="C4" s="1" t="s">
        <v>40</v>
      </c>
      <c r="D4" s="1">
        <v>3</v>
      </c>
      <c r="E4" s="1">
        <v>5</v>
      </c>
      <c r="F4" s="1">
        <v>6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3"/>
      <c r="AF4" s="3"/>
      <c r="AG4" s="3"/>
      <c r="AH4" s="3"/>
      <c r="AI4" s="3"/>
      <c r="AJ4" s="3"/>
      <c r="AK4" s="3"/>
      <c r="AM4" s="1" t="str">
        <f t="shared" si="0"/>
        <v>C</v>
      </c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 t="s">
        <v>6</v>
      </c>
      <c r="B5" s="1" t="s">
        <v>90</v>
      </c>
      <c r="C5" s="1" t="s">
        <v>91</v>
      </c>
      <c r="D5" s="1">
        <v>1</v>
      </c>
      <c r="E5" s="1">
        <v>30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3"/>
      <c r="AF5" s="3"/>
      <c r="AG5" s="3"/>
      <c r="AH5" s="3"/>
      <c r="AI5" s="3"/>
      <c r="AJ5" s="3"/>
      <c r="AK5" s="3"/>
      <c r="AM5" s="1" t="str">
        <f t="shared" si="0"/>
        <v>D</v>
      </c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3"/>
      <c r="AF6" s="3"/>
      <c r="AG6" s="3"/>
      <c r="AH6" s="3"/>
      <c r="AI6" s="3"/>
      <c r="AJ6" s="3"/>
      <c r="AK6" s="3"/>
      <c r="AM6" s="1" t="str">
        <f t="shared" si="0"/>
        <v/>
      </c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3"/>
      <c r="AF7" s="3"/>
      <c r="AG7" s="3"/>
      <c r="AH7" s="3"/>
      <c r="AI7" s="3"/>
      <c r="AJ7" s="3"/>
      <c r="AK7" s="3"/>
      <c r="AM7" s="1" t="str">
        <f t="shared" si="0"/>
        <v/>
      </c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3"/>
      <c r="AF8" s="3"/>
      <c r="AG8" s="3"/>
      <c r="AH8" s="3"/>
      <c r="AI8" s="3"/>
      <c r="AJ8" s="3"/>
      <c r="AK8" s="3"/>
      <c r="AM8" s="1" t="str">
        <f t="shared" si="0"/>
        <v/>
      </c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3"/>
      <c r="AF9" s="3"/>
      <c r="AG9" s="3"/>
      <c r="AH9" s="3"/>
      <c r="AI9" s="3"/>
      <c r="AJ9" s="3"/>
      <c r="AK9" s="3"/>
      <c r="AM9" s="1" t="str">
        <f t="shared" si="0"/>
        <v/>
      </c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3"/>
      <c r="AF10" s="3"/>
      <c r="AG10" s="3"/>
      <c r="AH10" s="3"/>
      <c r="AI10" s="3"/>
      <c r="AJ10" s="3"/>
      <c r="AK10" s="3"/>
      <c r="AM10" s="1" t="str">
        <f t="shared" si="0"/>
        <v/>
      </c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3"/>
      <c r="AF11" s="3"/>
      <c r="AG11" s="3"/>
      <c r="AH11" s="3"/>
      <c r="AI11" s="3"/>
      <c r="AJ11" s="3"/>
      <c r="AK11" s="3"/>
      <c r="AM11" s="1" t="str">
        <f t="shared" si="0"/>
        <v/>
      </c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3"/>
      <c r="AF12" s="3"/>
      <c r="AG12" s="3"/>
      <c r="AH12" s="3"/>
      <c r="AI12" s="3"/>
      <c r="AJ12" s="3"/>
      <c r="AK12" s="3"/>
      <c r="AM12" s="1" t="str">
        <f t="shared" si="0"/>
        <v/>
      </c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3"/>
      <c r="AF13" s="3"/>
      <c r="AG13" s="3"/>
      <c r="AH13" s="3"/>
      <c r="AI13" s="3"/>
      <c r="AJ13" s="3"/>
      <c r="AK13" s="3"/>
      <c r="AM13" s="1" t="str">
        <f t="shared" si="0"/>
        <v/>
      </c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3"/>
      <c r="AF14" s="3"/>
      <c r="AG14" s="3"/>
      <c r="AH14" s="3"/>
      <c r="AI14" s="3"/>
      <c r="AJ14" s="3"/>
      <c r="AK14" s="3"/>
      <c r="AM14" s="1" t="str">
        <f t="shared" si="0"/>
        <v/>
      </c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3"/>
      <c r="AF15" s="3"/>
      <c r="AG15" s="3"/>
      <c r="AH15" s="3"/>
      <c r="AI15" s="3"/>
      <c r="AJ15" s="3"/>
      <c r="AK15" s="3"/>
      <c r="AM15" s="1" t="str">
        <f t="shared" si="0"/>
        <v/>
      </c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8" spans="1:9" x14ac:dyDescent="0.25">
      <c r="A18" t="s">
        <v>36</v>
      </c>
    </row>
    <row r="19" spans="1:9" x14ac:dyDescent="0.25">
      <c r="A19" t="s">
        <v>20</v>
      </c>
      <c r="B19" s="1">
        <v>2026</v>
      </c>
    </row>
    <row r="20" spans="1:9" x14ac:dyDescent="0.25">
      <c r="A20" t="s">
        <v>21</v>
      </c>
      <c r="B20" s="1">
        <v>3</v>
      </c>
    </row>
    <row r="24" spans="1:9" x14ac:dyDescent="0.25">
      <c r="A24" t="s">
        <v>37</v>
      </c>
    </row>
    <row r="25" spans="1:9" x14ac:dyDescent="0.25">
      <c r="A25" t="s">
        <v>22</v>
      </c>
      <c r="B25" s="2">
        <v>46023</v>
      </c>
      <c r="C25" s="2">
        <v>46081</v>
      </c>
      <c r="D25" s="2">
        <v>45687</v>
      </c>
      <c r="E25" s="2">
        <v>45688</v>
      </c>
      <c r="F25" s="2">
        <v>45658</v>
      </c>
      <c r="G25" s="2">
        <v>45716</v>
      </c>
      <c r="H25" s="2"/>
      <c r="I25" s="2"/>
    </row>
    <row r="26" spans="1:9" x14ac:dyDescent="0.25">
      <c r="A26" t="s">
        <v>23</v>
      </c>
      <c r="B26" s="2">
        <v>45696</v>
      </c>
      <c r="C26" s="1"/>
      <c r="D26" s="1"/>
      <c r="E26" s="1"/>
      <c r="F26" s="1"/>
      <c r="G26" s="1"/>
      <c r="H26" s="1"/>
      <c r="I26" s="1"/>
    </row>
    <row r="30" spans="1:9" x14ac:dyDescent="0.25">
      <c r="A30" t="s">
        <v>89</v>
      </c>
      <c r="B30" s="1" t="s">
        <v>99</v>
      </c>
    </row>
    <row r="31" spans="1:9" x14ac:dyDescent="0.25">
      <c r="A31" t="s">
        <v>100</v>
      </c>
      <c r="B31" s="1">
        <v>12</v>
      </c>
    </row>
    <row r="46" spans="2:3" x14ac:dyDescent="0.25">
      <c r="B46" t="s">
        <v>87</v>
      </c>
      <c r="C46" t="s">
        <v>88</v>
      </c>
    </row>
  </sheetData>
  <phoneticPr fontId="1" type="noConversion"/>
  <conditionalFormatting sqref="AO2:AX16">
    <cfRule type="expression" dxfId="1" priority="1">
      <formula>AND(COLUMN(AO2)-COLUMN($AN2)&lt;=$AN2, $AN2&lt;&gt;"")</formula>
    </cfRule>
  </conditionalFormatting>
  <dataValidations count="1">
    <dataValidation type="list" allowBlank="1" showInputMessage="1" showErrorMessage="1" sqref="B30 D33" xr:uid="{00000000-0002-0000-0000-000000000000}">
      <formula1>$B$46:$C$46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9"/>
  <sheetViews>
    <sheetView tabSelected="1" zoomScale="85" zoomScaleNormal="85" workbookViewId="0">
      <selection activeCell="H24" sqref="H24"/>
    </sheetView>
  </sheetViews>
  <sheetFormatPr defaultRowHeight="16.5" x14ac:dyDescent="0.25"/>
  <sheetData>
    <row r="1" spans="1:32" x14ac:dyDescent="0.25">
      <c r="A1" t="s">
        <v>41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 x14ac:dyDescent="0.25">
      <c r="A2" t="s">
        <v>42</v>
      </c>
      <c r="B2" t="s">
        <v>46</v>
      </c>
      <c r="C2" t="s">
        <v>47</v>
      </c>
      <c r="D2" t="s">
        <v>48</v>
      </c>
      <c r="E2" t="s">
        <v>49</v>
      </c>
      <c r="F2" t="s">
        <v>43</v>
      </c>
      <c r="G2" t="s">
        <v>44</v>
      </c>
      <c r="H2" t="s">
        <v>45</v>
      </c>
      <c r="I2" t="s">
        <v>46</v>
      </c>
      <c r="J2" t="s">
        <v>47</v>
      </c>
      <c r="K2" t="s">
        <v>48</v>
      </c>
      <c r="L2" t="s">
        <v>49</v>
      </c>
      <c r="M2" t="s">
        <v>43</v>
      </c>
      <c r="N2" t="s">
        <v>44</v>
      </c>
      <c r="O2" t="s">
        <v>45</v>
      </c>
      <c r="P2" t="s">
        <v>46</v>
      </c>
      <c r="Q2" t="s">
        <v>47</v>
      </c>
      <c r="R2" t="s">
        <v>48</v>
      </c>
      <c r="S2" t="s">
        <v>49</v>
      </c>
      <c r="T2" t="s">
        <v>43</v>
      </c>
      <c r="U2" t="s">
        <v>44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43</v>
      </c>
      <c r="AB2" t="s">
        <v>44</v>
      </c>
      <c r="AC2" t="s">
        <v>45</v>
      </c>
      <c r="AD2" t="s">
        <v>46</v>
      </c>
      <c r="AE2" t="s">
        <v>47</v>
      </c>
      <c r="AF2" t="s">
        <v>48</v>
      </c>
    </row>
    <row r="3" spans="1:32" x14ac:dyDescent="0.25">
      <c r="A3" t="s">
        <v>50</v>
      </c>
      <c r="B3" t="s">
        <v>54</v>
      </c>
      <c r="C3" t="s">
        <v>55</v>
      </c>
      <c r="D3" t="s">
        <v>56</v>
      </c>
      <c r="E3" t="s">
        <v>57</v>
      </c>
      <c r="F3" t="s">
        <v>51</v>
      </c>
      <c r="G3" t="s">
        <v>52</v>
      </c>
      <c r="H3" t="s">
        <v>53</v>
      </c>
      <c r="I3" t="s">
        <v>54</v>
      </c>
      <c r="J3" t="s">
        <v>55</v>
      </c>
      <c r="K3" t="s">
        <v>56</v>
      </c>
      <c r="L3" t="s">
        <v>57</v>
      </c>
      <c r="M3" t="s">
        <v>51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51</v>
      </c>
      <c r="U3" t="s">
        <v>52</v>
      </c>
      <c r="V3" t="s">
        <v>53</v>
      </c>
      <c r="W3" t="s">
        <v>54</v>
      </c>
      <c r="X3" t="s">
        <v>55</v>
      </c>
      <c r="Y3" t="s">
        <v>56</v>
      </c>
      <c r="Z3" t="s">
        <v>57</v>
      </c>
      <c r="AA3" t="s">
        <v>51</v>
      </c>
      <c r="AB3" t="s">
        <v>52</v>
      </c>
      <c r="AC3" t="s">
        <v>53</v>
      </c>
      <c r="AD3" t="s">
        <v>54</v>
      </c>
      <c r="AE3" t="s">
        <v>55</v>
      </c>
      <c r="AF3" t="s">
        <v>56</v>
      </c>
    </row>
    <row r="4" spans="1:32" x14ac:dyDescent="0.25">
      <c r="A4" t="s">
        <v>58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  <c r="AC4">
        <v>1</v>
      </c>
      <c r="AD4">
        <v>1</v>
      </c>
      <c r="AE4">
        <v>0</v>
      </c>
      <c r="AF4">
        <v>0</v>
      </c>
    </row>
    <row r="5" spans="1:32" x14ac:dyDescent="0.25">
      <c r="A5" t="s">
        <v>79</v>
      </c>
      <c r="B5">
        <v>2</v>
      </c>
      <c r="C5">
        <v>0</v>
      </c>
      <c r="D5">
        <v>0</v>
      </c>
      <c r="E5">
        <v>0</v>
      </c>
      <c r="F5">
        <v>-1</v>
      </c>
      <c r="G5">
        <v>1</v>
      </c>
      <c r="H5">
        <v>3</v>
      </c>
      <c r="I5">
        <v>2</v>
      </c>
      <c r="J5">
        <v>0</v>
      </c>
      <c r="K5">
        <v>0</v>
      </c>
      <c r="L5">
        <v>0</v>
      </c>
      <c r="M5">
        <v>-1</v>
      </c>
      <c r="N5">
        <v>1</v>
      </c>
      <c r="O5">
        <v>3</v>
      </c>
      <c r="P5">
        <v>2</v>
      </c>
      <c r="Q5">
        <v>0</v>
      </c>
      <c r="R5">
        <v>0</v>
      </c>
      <c r="S5">
        <v>0</v>
      </c>
      <c r="T5">
        <v>-1</v>
      </c>
      <c r="U5">
        <v>1</v>
      </c>
      <c r="V5">
        <v>3</v>
      </c>
      <c r="W5">
        <v>2</v>
      </c>
      <c r="X5">
        <v>0</v>
      </c>
      <c r="Y5">
        <v>0</v>
      </c>
      <c r="Z5">
        <v>0</v>
      </c>
      <c r="AA5">
        <v>-1</v>
      </c>
      <c r="AB5">
        <v>1</v>
      </c>
      <c r="AC5">
        <v>3</v>
      </c>
      <c r="AD5">
        <v>2</v>
      </c>
      <c r="AE5">
        <v>0</v>
      </c>
      <c r="AF5">
        <v>0</v>
      </c>
    </row>
    <row r="6" spans="1:32" x14ac:dyDescent="0.25">
      <c r="A6" t="s">
        <v>63</v>
      </c>
      <c r="B6" t="s">
        <v>60</v>
      </c>
      <c r="C6" t="s">
        <v>59</v>
      </c>
      <c r="D6" t="s">
        <v>62</v>
      </c>
      <c r="E6" t="s">
        <v>59</v>
      </c>
      <c r="F6" t="s">
        <v>61</v>
      </c>
      <c r="G6" t="s">
        <v>62</v>
      </c>
      <c r="H6" t="s">
        <v>60</v>
      </c>
      <c r="I6" t="s">
        <v>59</v>
      </c>
      <c r="J6" t="s">
        <v>62</v>
      </c>
      <c r="K6" t="s">
        <v>61</v>
      </c>
      <c r="L6" t="s">
        <v>59</v>
      </c>
      <c r="M6" t="s">
        <v>62</v>
      </c>
      <c r="N6" t="s">
        <v>60</v>
      </c>
      <c r="O6" t="s">
        <v>59</v>
      </c>
      <c r="P6" t="s">
        <v>61</v>
      </c>
      <c r="Q6" t="s">
        <v>60</v>
      </c>
      <c r="R6" t="s">
        <v>59</v>
      </c>
      <c r="S6" t="s">
        <v>61</v>
      </c>
      <c r="T6" t="s">
        <v>59</v>
      </c>
      <c r="U6" t="s">
        <v>60</v>
      </c>
      <c r="V6" t="s">
        <v>61</v>
      </c>
      <c r="W6" t="s">
        <v>62</v>
      </c>
      <c r="X6" t="s">
        <v>60</v>
      </c>
      <c r="Y6" t="s">
        <v>61</v>
      </c>
      <c r="Z6" t="s">
        <v>62</v>
      </c>
      <c r="AA6" t="s">
        <v>60</v>
      </c>
      <c r="AB6" t="s">
        <v>61</v>
      </c>
      <c r="AC6" t="s">
        <v>62</v>
      </c>
      <c r="AD6" t="s">
        <v>60</v>
      </c>
      <c r="AE6" t="s">
        <v>62</v>
      </c>
      <c r="AF6" t="s">
        <v>61</v>
      </c>
    </row>
    <row r="15" spans="1:32" x14ac:dyDescent="0.25">
      <c r="A15" t="s">
        <v>42</v>
      </c>
      <c r="B15" t="s">
        <v>55</v>
      </c>
      <c r="C15" t="s">
        <v>56</v>
      </c>
      <c r="D15" t="s">
        <v>57</v>
      </c>
      <c r="E15" t="s">
        <v>51</v>
      </c>
      <c r="F15" t="s">
        <v>52</v>
      </c>
      <c r="G15" t="s">
        <v>53</v>
      </c>
      <c r="H15" t="s">
        <v>54</v>
      </c>
      <c r="I15" t="s">
        <v>64</v>
      </c>
      <c r="N15" t="s">
        <v>79</v>
      </c>
      <c r="O15">
        <v>-1</v>
      </c>
      <c r="P15">
        <v>0</v>
      </c>
      <c r="Q15">
        <v>1</v>
      </c>
      <c r="R15">
        <v>2</v>
      </c>
      <c r="S15">
        <v>3</v>
      </c>
      <c r="T15" t="s">
        <v>64</v>
      </c>
      <c r="X15" t="s">
        <v>63</v>
      </c>
      <c r="Y15" t="s">
        <v>86</v>
      </c>
    </row>
    <row r="16" spans="1:32" x14ac:dyDescent="0.25">
      <c r="A16" t="s">
        <v>59</v>
      </c>
      <c r="B16">
        <f t="shared" ref="B16:H19" si="0">COUNTIFS($6:$6,$A16,$3:$3,B$15)</f>
        <v>1</v>
      </c>
      <c r="C16">
        <f t="shared" si="0"/>
        <v>1</v>
      </c>
      <c r="D16">
        <f t="shared" si="0"/>
        <v>2</v>
      </c>
      <c r="E16">
        <f t="shared" si="0"/>
        <v>1</v>
      </c>
      <c r="F16">
        <f t="shared" si="0"/>
        <v>0</v>
      </c>
      <c r="G16">
        <f t="shared" si="0"/>
        <v>1</v>
      </c>
      <c r="H16">
        <f t="shared" si="0"/>
        <v>1</v>
      </c>
      <c r="I16">
        <f t="shared" ref="I16:I19" si="1">SUM(B16:H16)</f>
        <v>7</v>
      </c>
      <c r="N16" t="s">
        <v>59</v>
      </c>
      <c r="O16">
        <f t="shared" ref="O16:S19" si="2">COUNTIFS($6:$6,$N16,$5:$5,O$15)</f>
        <v>1</v>
      </c>
      <c r="P16">
        <f t="shared" si="2"/>
        <v>4</v>
      </c>
      <c r="Q16">
        <f t="shared" si="2"/>
        <v>0</v>
      </c>
      <c r="R16">
        <f t="shared" si="2"/>
        <v>1</v>
      </c>
      <c r="S16">
        <f t="shared" si="2"/>
        <v>1</v>
      </c>
      <c r="T16">
        <f t="shared" ref="T16:T19" si="3">SUM(O16:S16)</f>
        <v>7</v>
      </c>
      <c r="X16" t="s">
        <v>59</v>
      </c>
      <c r="Y16">
        <v>2</v>
      </c>
    </row>
    <row r="17" spans="1:25" x14ac:dyDescent="0.25">
      <c r="A17" t="s">
        <v>62</v>
      </c>
      <c r="B17">
        <f t="shared" si="0"/>
        <v>2</v>
      </c>
      <c r="C17">
        <f t="shared" si="0"/>
        <v>1</v>
      </c>
      <c r="D17">
        <f t="shared" si="0"/>
        <v>1</v>
      </c>
      <c r="E17">
        <f t="shared" si="0"/>
        <v>1</v>
      </c>
      <c r="F17">
        <f t="shared" si="0"/>
        <v>1</v>
      </c>
      <c r="G17">
        <f t="shared" si="0"/>
        <v>1</v>
      </c>
      <c r="H17">
        <f t="shared" si="0"/>
        <v>1</v>
      </c>
      <c r="I17">
        <f t="shared" si="1"/>
        <v>8</v>
      </c>
      <c r="N17" t="s">
        <v>62</v>
      </c>
      <c r="O17">
        <f t="shared" si="2"/>
        <v>1</v>
      </c>
      <c r="P17">
        <f t="shared" si="2"/>
        <v>4</v>
      </c>
      <c r="Q17">
        <f t="shared" si="2"/>
        <v>1</v>
      </c>
      <c r="R17">
        <f t="shared" si="2"/>
        <v>1</v>
      </c>
      <c r="S17">
        <f t="shared" si="2"/>
        <v>1</v>
      </c>
      <c r="T17">
        <f t="shared" si="3"/>
        <v>8</v>
      </c>
      <c r="X17" t="s">
        <v>62</v>
      </c>
      <c r="Y17">
        <v>1</v>
      </c>
    </row>
    <row r="18" spans="1:25" x14ac:dyDescent="0.25">
      <c r="A18" t="s">
        <v>60</v>
      </c>
      <c r="B18">
        <f t="shared" si="0"/>
        <v>2</v>
      </c>
      <c r="C18">
        <f t="shared" si="0"/>
        <v>0</v>
      </c>
      <c r="D18">
        <f t="shared" si="0"/>
        <v>0</v>
      </c>
      <c r="E18">
        <f t="shared" si="0"/>
        <v>1</v>
      </c>
      <c r="F18">
        <f t="shared" si="0"/>
        <v>2</v>
      </c>
      <c r="G18">
        <f t="shared" si="0"/>
        <v>1</v>
      </c>
      <c r="H18">
        <f t="shared" si="0"/>
        <v>2</v>
      </c>
      <c r="I18">
        <f t="shared" si="1"/>
        <v>8</v>
      </c>
      <c r="N18" t="s">
        <v>60</v>
      </c>
      <c r="O18">
        <f t="shared" si="2"/>
        <v>1</v>
      </c>
      <c r="P18">
        <f t="shared" si="2"/>
        <v>2</v>
      </c>
      <c r="Q18">
        <f t="shared" si="2"/>
        <v>2</v>
      </c>
      <c r="R18">
        <f t="shared" si="2"/>
        <v>2</v>
      </c>
      <c r="S18">
        <f t="shared" si="2"/>
        <v>1</v>
      </c>
      <c r="T18">
        <f t="shared" si="3"/>
        <v>8</v>
      </c>
      <c r="X18" t="s">
        <v>60</v>
      </c>
      <c r="Y18">
        <v>0</v>
      </c>
    </row>
    <row r="19" spans="1:25" x14ac:dyDescent="0.25">
      <c r="A19" t="s">
        <v>61</v>
      </c>
      <c r="B19">
        <f t="shared" si="0"/>
        <v>0</v>
      </c>
      <c r="C19">
        <f t="shared" si="0"/>
        <v>3</v>
      </c>
      <c r="D19">
        <f t="shared" si="0"/>
        <v>1</v>
      </c>
      <c r="E19">
        <f t="shared" si="0"/>
        <v>1</v>
      </c>
      <c r="F19">
        <f t="shared" si="0"/>
        <v>1</v>
      </c>
      <c r="G19">
        <f t="shared" si="0"/>
        <v>1</v>
      </c>
      <c r="H19">
        <f t="shared" si="0"/>
        <v>1</v>
      </c>
      <c r="I19">
        <f t="shared" si="1"/>
        <v>8</v>
      </c>
      <c r="N19" t="s">
        <v>61</v>
      </c>
      <c r="O19">
        <f t="shared" si="2"/>
        <v>1</v>
      </c>
      <c r="P19">
        <f t="shared" si="2"/>
        <v>4</v>
      </c>
      <c r="Q19">
        <f t="shared" si="2"/>
        <v>1</v>
      </c>
      <c r="R19">
        <f t="shared" si="2"/>
        <v>1</v>
      </c>
      <c r="S19">
        <f t="shared" si="2"/>
        <v>1</v>
      </c>
      <c r="T19">
        <f t="shared" si="3"/>
        <v>8</v>
      </c>
      <c r="X19" t="s">
        <v>61</v>
      </c>
      <c r="Y19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Q31"/>
  <sheetViews>
    <sheetView workbookViewId="0">
      <selection activeCell="R8" sqref="R8"/>
    </sheetView>
  </sheetViews>
  <sheetFormatPr defaultRowHeight="16.5" x14ac:dyDescent="0.25"/>
  <cols>
    <col min="21" max="21" width="10.875" customWidth="1"/>
  </cols>
  <sheetData>
    <row r="1" spans="1:69" x14ac:dyDescent="0.25">
      <c r="A1" t="s">
        <v>80</v>
      </c>
      <c r="S1" t="s">
        <v>76</v>
      </c>
      <c r="T1" s="1" t="s">
        <v>24</v>
      </c>
      <c r="U1" s="1" t="s">
        <v>8</v>
      </c>
      <c r="V1" s="1" t="s">
        <v>7</v>
      </c>
      <c r="W1" s="1" t="s">
        <v>9</v>
      </c>
      <c r="X1" s="1" t="s">
        <v>10</v>
      </c>
      <c r="Y1" s="1" t="s">
        <v>11</v>
      </c>
      <c r="Z1" s="1" t="s">
        <v>12</v>
      </c>
      <c r="AA1" s="1" t="s">
        <v>13</v>
      </c>
      <c r="AB1" s="1" t="s">
        <v>14</v>
      </c>
      <c r="AC1" s="1" t="s">
        <v>15</v>
      </c>
      <c r="AD1" s="1" t="s">
        <v>16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17</v>
      </c>
      <c r="AK1" s="1" t="s">
        <v>18</v>
      </c>
      <c r="AL1" s="1" t="s">
        <v>19</v>
      </c>
      <c r="AM1" s="1" t="s">
        <v>30</v>
      </c>
      <c r="AN1" s="1" t="s">
        <v>31</v>
      </c>
      <c r="AO1" s="1" t="s">
        <v>32</v>
      </c>
      <c r="AP1" s="1" t="s">
        <v>33</v>
      </c>
      <c r="AQ1" s="1" t="s">
        <v>34</v>
      </c>
      <c r="AR1" s="1" t="s">
        <v>35</v>
      </c>
      <c r="AS1" s="1" t="s">
        <v>66</v>
      </c>
      <c r="AT1" s="1" t="s">
        <v>67</v>
      </c>
      <c r="AU1" s="1" t="s">
        <v>68</v>
      </c>
      <c r="AV1" s="1" t="s">
        <v>69</v>
      </c>
      <c r="AW1" s="1" t="s">
        <v>70</v>
      </c>
      <c r="AX1" s="3" t="s">
        <v>92</v>
      </c>
      <c r="AY1" s="3" t="s">
        <v>93</v>
      </c>
      <c r="AZ1" s="3" t="s">
        <v>94</v>
      </c>
      <c r="BA1" s="3" t="s">
        <v>95</v>
      </c>
      <c r="BB1" s="3" t="s">
        <v>96</v>
      </c>
      <c r="BC1" s="3" t="s">
        <v>97</v>
      </c>
      <c r="BD1" s="3" t="s">
        <v>98</v>
      </c>
      <c r="BF1" s="1" t="s">
        <v>83</v>
      </c>
      <c r="BG1" s="1" t="s">
        <v>65</v>
      </c>
      <c r="BH1" s="1">
        <v>1</v>
      </c>
      <c r="BI1" s="1">
        <v>2</v>
      </c>
      <c r="BJ1" s="1">
        <v>3</v>
      </c>
      <c r="BK1" s="1">
        <v>4</v>
      </c>
      <c r="BL1" s="1">
        <v>5</v>
      </c>
      <c r="BM1" s="1">
        <v>6</v>
      </c>
      <c r="BN1" s="1">
        <v>7</v>
      </c>
      <c r="BO1" s="1">
        <v>8</v>
      </c>
      <c r="BP1" s="1">
        <v>9</v>
      </c>
      <c r="BQ1" s="1">
        <v>10</v>
      </c>
    </row>
    <row r="2" spans="1:69" x14ac:dyDescent="0.25">
      <c r="T2" s="1" t="s">
        <v>0</v>
      </c>
      <c r="U2" s="1" t="s">
        <v>1</v>
      </c>
      <c r="V2" s="1" t="s">
        <v>38</v>
      </c>
      <c r="W2" s="1">
        <v>22</v>
      </c>
      <c r="X2" s="1">
        <v>23</v>
      </c>
      <c r="Y2" s="1">
        <v>24</v>
      </c>
      <c r="Z2" s="1">
        <v>17</v>
      </c>
      <c r="AA2" s="1">
        <v>18</v>
      </c>
      <c r="AB2" s="1">
        <v>19</v>
      </c>
      <c r="AC2" s="1"/>
      <c r="AD2" s="1"/>
      <c r="AE2" s="1"/>
      <c r="AF2" s="1"/>
      <c r="AG2" s="1"/>
      <c r="AH2" s="1"/>
      <c r="AI2" s="1"/>
      <c r="AJ2" s="1">
        <v>20</v>
      </c>
      <c r="AK2" s="1">
        <v>21</v>
      </c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3">
        <v>1</v>
      </c>
      <c r="AY2" s="3">
        <v>3</v>
      </c>
      <c r="AZ2" s="3">
        <v>5</v>
      </c>
      <c r="BA2" s="3">
        <v>7</v>
      </c>
      <c r="BB2" s="3">
        <v>9</v>
      </c>
      <c r="BC2" s="3"/>
      <c r="BD2" s="3"/>
      <c r="BF2" s="1" t="str">
        <f>IF(ISBLANK(T2),"",T2)</f>
        <v>A</v>
      </c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</row>
    <row r="3" spans="1:69" x14ac:dyDescent="0.25">
      <c r="A3" t="s">
        <v>71</v>
      </c>
      <c r="T3" s="1" t="s">
        <v>4</v>
      </c>
      <c r="U3" s="1" t="s">
        <v>2</v>
      </c>
      <c r="V3" s="1" t="s">
        <v>39</v>
      </c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3"/>
      <c r="AY3" s="3"/>
      <c r="AZ3" s="3"/>
      <c r="BA3" s="3"/>
      <c r="BB3" s="3"/>
      <c r="BC3" s="3"/>
      <c r="BD3" s="3"/>
      <c r="BF3" s="1" t="str">
        <f t="shared" ref="BF3:BF15" si="0">IF(ISBLANK(T3),"",T3)</f>
        <v>B</v>
      </c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</row>
    <row r="4" spans="1:69" x14ac:dyDescent="0.25">
      <c r="T4" s="1" t="s">
        <v>5</v>
      </c>
      <c r="U4" s="1" t="s">
        <v>3</v>
      </c>
      <c r="V4" s="1" t="s">
        <v>40</v>
      </c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3"/>
      <c r="AY4" s="3"/>
      <c r="AZ4" s="3"/>
      <c r="BA4" s="3"/>
      <c r="BB4" s="3"/>
      <c r="BC4" s="3"/>
      <c r="BD4" s="3"/>
      <c r="BF4" s="1" t="str">
        <f t="shared" si="0"/>
        <v>C</v>
      </c>
      <c r="BG4" s="1">
        <v>6</v>
      </c>
      <c r="BH4" s="1">
        <v>3</v>
      </c>
      <c r="BI4" s="1">
        <v>2</v>
      </c>
      <c r="BJ4" s="1">
        <v>1</v>
      </c>
      <c r="BK4" s="1">
        <v>0</v>
      </c>
      <c r="BL4" s="1">
        <v>0</v>
      </c>
      <c r="BM4" s="1">
        <v>0</v>
      </c>
      <c r="BN4" s="1"/>
      <c r="BO4" s="1"/>
      <c r="BP4" s="1"/>
      <c r="BQ4" s="1"/>
    </row>
    <row r="5" spans="1:69" x14ac:dyDescent="0.25">
      <c r="A5" t="s">
        <v>77</v>
      </c>
      <c r="T5" s="1" t="s">
        <v>6</v>
      </c>
      <c r="U5" s="1" t="s">
        <v>90</v>
      </c>
      <c r="V5" s="1" t="s">
        <v>91</v>
      </c>
      <c r="W5" s="1">
        <v>1</v>
      </c>
      <c r="X5" s="1">
        <v>2</v>
      </c>
      <c r="Y5" s="1">
        <v>3</v>
      </c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3"/>
      <c r="AY5" s="3"/>
      <c r="AZ5" s="3"/>
      <c r="BA5" s="3"/>
      <c r="BB5" s="3"/>
      <c r="BC5" s="3"/>
      <c r="BD5" s="3"/>
      <c r="BF5" s="1" t="str">
        <f t="shared" si="0"/>
        <v>D</v>
      </c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</row>
    <row r="6" spans="1:69" x14ac:dyDescent="0.25"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3"/>
      <c r="AY6" s="3"/>
      <c r="AZ6" s="3"/>
      <c r="BA6" s="3"/>
      <c r="BB6" s="3"/>
      <c r="BC6" s="3"/>
      <c r="BD6" s="3"/>
      <c r="BF6" s="1" t="str">
        <f t="shared" si="0"/>
        <v/>
      </c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</row>
    <row r="7" spans="1:69" x14ac:dyDescent="0.25">
      <c r="A7" t="s">
        <v>81</v>
      </c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3"/>
      <c r="AY7" s="3"/>
      <c r="AZ7" s="3"/>
      <c r="BA7" s="3"/>
      <c r="BB7" s="3"/>
      <c r="BC7" s="3"/>
      <c r="BD7" s="3"/>
      <c r="BF7" s="1" t="str">
        <f t="shared" si="0"/>
        <v/>
      </c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</row>
    <row r="8" spans="1:69" x14ac:dyDescent="0.25">
      <c r="A8" t="s">
        <v>82</v>
      </c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3"/>
      <c r="AY8" s="3"/>
      <c r="AZ8" s="3"/>
      <c r="BA8" s="3"/>
      <c r="BB8" s="3"/>
      <c r="BC8" s="3"/>
      <c r="BD8" s="3"/>
      <c r="BF8" s="1" t="str">
        <f t="shared" si="0"/>
        <v/>
      </c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</row>
    <row r="9" spans="1:69" x14ac:dyDescent="0.25">
      <c r="B9" t="s">
        <v>75</v>
      </c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3"/>
      <c r="AY9" s="3"/>
      <c r="AZ9" s="3"/>
      <c r="BA9" s="3"/>
      <c r="BB9" s="3"/>
      <c r="BC9" s="3"/>
      <c r="BD9" s="3"/>
      <c r="BF9" s="1" t="str">
        <f t="shared" si="0"/>
        <v/>
      </c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</row>
    <row r="10" spans="1:69" x14ac:dyDescent="0.25">
      <c r="B10" t="s">
        <v>72</v>
      </c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3"/>
      <c r="AY10" s="3"/>
      <c r="AZ10" s="3"/>
      <c r="BA10" s="3"/>
      <c r="BB10" s="3"/>
      <c r="BC10" s="3"/>
      <c r="BD10" s="3"/>
      <c r="BF10" s="1" t="str">
        <f t="shared" si="0"/>
        <v/>
      </c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</row>
    <row r="11" spans="1:69" x14ac:dyDescent="0.25">
      <c r="B11" t="s">
        <v>73</v>
      </c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3"/>
      <c r="AY11" s="3"/>
      <c r="AZ11" s="3"/>
      <c r="BA11" s="3"/>
      <c r="BB11" s="3"/>
      <c r="BC11" s="3"/>
      <c r="BD11" s="3"/>
      <c r="BF11" s="1" t="str">
        <f t="shared" si="0"/>
        <v/>
      </c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</row>
    <row r="12" spans="1:69" x14ac:dyDescent="0.25">
      <c r="B12" t="s">
        <v>78</v>
      </c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3"/>
      <c r="AY12" s="3"/>
      <c r="AZ12" s="3"/>
      <c r="BA12" s="3"/>
      <c r="BB12" s="3"/>
      <c r="BC12" s="3"/>
      <c r="BD12" s="3"/>
      <c r="BF12" s="1" t="str">
        <f t="shared" si="0"/>
        <v/>
      </c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</row>
    <row r="13" spans="1:69" x14ac:dyDescent="0.25">
      <c r="B13" t="s">
        <v>74</v>
      </c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3"/>
      <c r="AY13" s="3"/>
      <c r="AZ13" s="3"/>
      <c r="BA13" s="3"/>
      <c r="BB13" s="3"/>
      <c r="BC13" s="3"/>
      <c r="BD13" s="3"/>
      <c r="BF13" s="1" t="str">
        <f t="shared" si="0"/>
        <v/>
      </c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</row>
    <row r="14" spans="1:69" x14ac:dyDescent="0.25"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3"/>
      <c r="AY14" s="3"/>
      <c r="AZ14" s="3"/>
      <c r="BA14" s="3"/>
      <c r="BB14" s="3"/>
      <c r="BC14" s="3"/>
      <c r="BD14" s="3"/>
      <c r="BF14" s="1" t="str">
        <f t="shared" si="0"/>
        <v/>
      </c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</row>
    <row r="15" spans="1:69" x14ac:dyDescent="0.25">
      <c r="A15" t="s">
        <v>84</v>
      </c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3"/>
      <c r="AY15" s="3"/>
      <c r="AZ15" s="3"/>
      <c r="BA15" s="3"/>
      <c r="BB15" s="3"/>
      <c r="BC15" s="3"/>
      <c r="BD15" s="3"/>
      <c r="BF15" s="1" t="str">
        <f t="shared" si="0"/>
        <v/>
      </c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</row>
    <row r="17" spans="1:28" x14ac:dyDescent="0.25">
      <c r="A17" t="s">
        <v>85</v>
      </c>
    </row>
    <row r="18" spans="1:28" x14ac:dyDescent="0.25">
      <c r="T18" t="s">
        <v>36</v>
      </c>
    </row>
    <row r="19" spans="1:28" x14ac:dyDescent="0.25">
      <c r="T19" t="s">
        <v>20</v>
      </c>
      <c r="U19" s="1">
        <v>2026</v>
      </c>
    </row>
    <row r="20" spans="1:28" x14ac:dyDescent="0.25">
      <c r="T20" t="s">
        <v>21</v>
      </c>
      <c r="U20" s="1">
        <v>1</v>
      </c>
    </row>
    <row r="24" spans="1:28" x14ac:dyDescent="0.25">
      <c r="T24" t="s">
        <v>37</v>
      </c>
    </row>
    <row r="25" spans="1:28" x14ac:dyDescent="0.25">
      <c r="T25" t="s">
        <v>22</v>
      </c>
      <c r="U25" s="2">
        <v>46023</v>
      </c>
      <c r="V25" s="2">
        <v>46081</v>
      </c>
      <c r="W25" s="2">
        <v>45687</v>
      </c>
      <c r="X25" s="2">
        <v>45688</v>
      </c>
      <c r="Y25" s="2">
        <v>45658</v>
      </c>
      <c r="Z25" s="2">
        <v>45716</v>
      </c>
      <c r="AA25" s="2"/>
      <c r="AB25" s="2"/>
    </row>
    <row r="26" spans="1:28" x14ac:dyDescent="0.25">
      <c r="T26" t="s">
        <v>23</v>
      </c>
      <c r="U26" s="2">
        <v>45696</v>
      </c>
      <c r="V26" s="1"/>
      <c r="W26" s="1"/>
      <c r="X26" s="1"/>
      <c r="Y26" s="1"/>
      <c r="Z26" s="1"/>
      <c r="AA26" s="1"/>
      <c r="AB26" s="1"/>
    </row>
    <row r="30" spans="1:28" x14ac:dyDescent="0.25">
      <c r="T30" t="s">
        <v>89</v>
      </c>
      <c r="U30" s="1" t="s">
        <v>99</v>
      </c>
    </row>
    <row r="31" spans="1:28" x14ac:dyDescent="0.25">
      <c r="T31" t="s">
        <v>100</v>
      </c>
      <c r="U31" s="1">
        <v>7</v>
      </c>
    </row>
  </sheetData>
  <phoneticPr fontId="1" type="noConversion"/>
  <conditionalFormatting sqref="BH2:BQ16">
    <cfRule type="expression" dxfId="0" priority="1">
      <formula>AND(COLUMN(BH2)-COLUMN($AN2)&lt;=$AN2, $AN2&lt;&gt;"")</formula>
    </cfRule>
  </conditionalFormatting>
  <dataValidations count="1">
    <dataValidation type="list" allowBlank="1" showInputMessage="1" showErrorMessage="1" sqref="U30 W33" xr:uid="{00000000-0002-0000-0200-000000000000}">
      <formula1>$B$46:$C$46</formula1>
    </dataValidation>
  </dataValidation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員工年假預假</vt:lpstr>
      <vt:lpstr>班表</vt:lpstr>
      <vt:lpstr>排班步驟</vt:lpstr>
    </vt:vector>
  </TitlesOfParts>
  <Company>vghtpe.gov.tw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VGHUSER</dc:creator>
  <cp:lastModifiedBy>唯澤 翁</cp:lastModifiedBy>
  <dcterms:created xsi:type="dcterms:W3CDTF">2025-05-28T15:23:31Z</dcterms:created>
  <dcterms:modified xsi:type="dcterms:W3CDTF">2026-03-06T16:27:11Z</dcterms:modified>
</cp:coreProperties>
</file>